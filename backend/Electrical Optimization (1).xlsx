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testmaq-my.sharepoint.com/personal/ojasu_maqsoftware_com/Documents/"/>
    </mc:Choice>
  </mc:AlternateContent>
  <xr:revisionPtr revIDLastSave="0" documentId="8_{485C8994-99E1-4587-AF94-62D3F86263A5}" xr6:coauthVersionLast="47" xr6:coauthVersionMax="47" xr10:uidLastSave="{00000000-0000-0000-0000-000000000000}"/>
  <bookViews>
    <workbookView xWindow="-120" yWindow="-120" windowWidth="29040" windowHeight="15720" firstSheet="3" activeTab="3" xr2:uid="{5B25AEB2-244A-4BBC-817F-D093537EF93A}"/>
  </bookViews>
  <sheets>
    <sheet name="Solar" sheetId="4" r:id="rId1"/>
    <sheet name="DG" sheetId="20" r:id="rId2"/>
    <sheet name="Grid" sheetId="21" r:id="rId3"/>
    <sheet name="ECS" sheetId="1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19" l="1"/>
  <c r="H35" i="19"/>
  <c r="G35" i="19"/>
  <c r="F35" i="19"/>
  <c r="E35" i="19"/>
  <c r="I3" i="19"/>
  <c r="H3" i="19"/>
  <c r="G3" i="19"/>
  <c r="I4" i="19"/>
  <c r="H4" i="19"/>
  <c r="G4" i="19"/>
  <c r="I6" i="19"/>
  <c r="I5" i="19"/>
  <c r="F14" i="19"/>
  <c r="F15" i="19"/>
  <c r="I15" i="19" s="1"/>
  <c r="F16" i="19"/>
  <c r="I16" i="19" s="1"/>
  <c r="I7" i="19"/>
  <c r="I8" i="19"/>
  <c r="I9" i="19"/>
  <c r="I10" i="19"/>
  <c r="I11" i="19"/>
  <c r="I12" i="19"/>
  <c r="I13" i="19"/>
  <c r="I14" i="19"/>
  <c r="H5" i="19"/>
  <c r="H6" i="19"/>
  <c r="H7" i="19"/>
  <c r="H8" i="19"/>
  <c r="H9" i="19"/>
  <c r="H10" i="19"/>
  <c r="H11" i="19"/>
  <c r="H12" i="19"/>
  <c r="H13" i="19"/>
  <c r="H14" i="19"/>
  <c r="H15" i="19"/>
  <c r="H16" i="19"/>
  <c r="G5" i="19"/>
  <c r="G6" i="19"/>
  <c r="G7" i="19"/>
  <c r="G8" i="19"/>
  <c r="G9" i="19"/>
  <c r="G10" i="19"/>
  <c r="G11" i="19"/>
  <c r="G12" i="19"/>
  <c r="G13" i="19"/>
  <c r="G14" i="19"/>
  <c r="G15" i="19"/>
  <c r="G16" i="19"/>
  <c r="I23" i="19"/>
  <c r="H17" i="19"/>
  <c r="H18" i="19"/>
  <c r="H19" i="19"/>
  <c r="H20" i="19"/>
  <c r="H21" i="19"/>
  <c r="H22" i="19"/>
  <c r="H23" i="19"/>
  <c r="G23" i="19"/>
  <c r="F17" i="19"/>
  <c r="F18" i="19"/>
  <c r="F19" i="19"/>
  <c r="F20" i="19"/>
  <c r="F21" i="19"/>
  <c r="F22" i="19"/>
  <c r="F24" i="19"/>
  <c r="I24" i="19"/>
  <c r="H24" i="19"/>
  <c r="G24" i="19"/>
  <c r="F25" i="19"/>
  <c r="G25" i="19" s="1"/>
  <c r="I25" i="19"/>
  <c r="H25" i="19"/>
  <c r="F26" i="19"/>
  <c r="G26" i="19"/>
  <c r="H26" i="19"/>
  <c r="I26" i="19"/>
  <c r="F27" i="19"/>
  <c r="G27" i="19" s="1"/>
  <c r="F28" i="19"/>
  <c r="G28" i="19" s="1"/>
  <c r="F29" i="19"/>
  <c r="G29" i="19" s="1"/>
  <c r="F30" i="19"/>
  <c r="G30" i="19" s="1"/>
  <c r="I28" i="19"/>
  <c r="I29" i="19"/>
  <c r="I30" i="19"/>
  <c r="H27" i="19"/>
  <c r="H28" i="19"/>
  <c r="H29" i="19"/>
  <c r="H30" i="19"/>
  <c r="F31" i="19"/>
  <c r="I31" i="19"/>
  <c r="H31" i="19"/>
  <c r="G31" i="19"/>
  <c r="F32" i="19"/>
  <c r="I32" i="19" s="1"/>
  <c r="H32" i="19"/>
  <c r="F33" i="19"/>
  <c r="G33" i="19" s="1"/>
  <c r="F34" i="19"/>
  <c r="I34" i="19" s="1"/>
  <c r="I33" i="19"/>
  <c r="H33" i="19"/>
  <c r="H34" i="19"/>
  <c r="I27" i="19" l="1"/>
  <c r="G32" i="19"/>
  <c r="G34" i="19"/>
  <c r="I22" i="19"/>
  <c r="G22" i="19"/>
  <c r="I21" i="19"/>
  <c r="G21" i="19"/>
  <c r="I20" i="19"/>
  <c r="G20" i="19"/>
  <c r="I19" i="19"/>
  <c r="G19" i="19"/>
  <c r="I18" i="19"/>
  <c r="G18" i="19"/>
  <c r="I17" i="19"/>
  <c r="G17" i="19"/>
</calcChain>
</file>

<file path=xl/sharedStrings.xml><?xml version="1.0" encoding="utf-8"?>
<sst xmlns="http://schemas.openxmlformats.org/spreadsheetml/2006/main" count="75" uniqueCount="31">
  <si>
    <t xml:space="preserve">ar </t>
  </si>
  <si>
    <t>Date</t>
  </si>
  <si>
    <t>Day</t>
  </si>
  <si>
    <t>Time</t>
  </si>
  <si>
    <r>
      <t xml:space="preserve">Ambient Temperature </t>
    </r>
    <r>
      <rPr>
        <b/>
        <sz val="11"/>
        <color theme="1"/>
        <rFont val="Aptos Narrow"/>
        <family val="2"/>
      </rPr>
      <t>°C</t>
    </r>
  </si>
  <si>
    <t>Grid Units Consumed (KWh)</t>
  </si>
  <si>
    <t>Solar Units Consumed(KWh)</t>
  </si>
  <si>
    <t>Total Units Consumed (KWh)</t>
  </si>
  <si>
    <t>Total Units Consumed in INR</t>
  </si>
  <si>
    <t>Energy Saving in INR</t>
  </si>
  <si>
    <t>Thursday</t>
  </si>
  <si>
    <t>9-29</t>
  </si>
  <si>
    <t>Wednesday</t>
  </si>
  <si>
    <t>11-31</t>
  </si>
  <si>
    <t>Tuesday</t>
  </si>
  <si>
    <t>Monday</t>
  </si>
  <si>
    <t>Sunday</t>
  </si>
  <si>
    <t>Saturday</t>
  </si>
  <si>
    <t>Friday</t>
  </si>
  <si>
    <t>12-37</t>
  </si>
  <si>
    <t>11-36</t>
  </si>
  <si>
    <t>10-29</t>
  </si>
  <si>
    <t>11-32</t>
  </si>
  <si>
    <t>11-29</t>
  </si>
  <si>
    <t>10-30</t>
  </si>
  <si>
    <t>8-24</t>
  </si>
  <si>
    <t>8-26</t>
  </si>
  <si>
    <t>9-28</t>
  </si>
  <si>
    <t>8-23</t>
  </si>
  <si>
    <t>8-29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</si>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</sst>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5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050B-6515-4FD3-9B9F-000897F32E5E}">
  <dimension ref="C2"/>
  <sheetViews>
    <sheetView workbookViewId="0">
      <selection activeCell="D4" sqref="D4"/>
    </sheetView>
  </sheetViews>
  <sheetFormatPr defaultRowHeight="15"/>
  <sheetData>
    <row r="2" spans="3:3">
      <c r="C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E570-3C4E-4718-A0F5-933DB318099A}">
  <dimension ref="A1"/>
  <sheetViews>
    <sheetView workbookViewId="0">
      <selection activeCell="I7" sqref="I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C995-22A9-4B87-978A-A086AC26F7B1}">
  <dimension ref="A1"/>
  <sheetViews>
    <sheetView topLeftCell="A31" workbookViewId="0">
      <selection activeCell="Q16" sqref="Q16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F6B6-CA0E-405D-A52D-45A330F3072C}">
  <dimension ref="A1:J36"/>
  <sheetViews>
    <sheetView tabSelected="1" topLeftCell="A4" zoomScaleNormal="100" workbookViewId="0">
      <selection activeCell="I36" sqref="I36"/>
    </sheetView>
  </sheetViews>
  <sheetFormatPr defaultColWidth="8.7109375" defaultRowHeight="15"/>
  <cols>
    <col min="1" max="1" width="10.140625" style="1" bestFit="1" customWidth="1"/>
    <col min="2" max="2" width="14.85546875" style="1" customWidth="1"/>
    <col min="3" max="3" width="8.7109375" style="1"/>
    <col min="4" max="4" width="15.42578125" style="1" bestFit="1" customWidth="1"/>
    <col min="5" max="5" width="17" style="1" bestFit="1" customWidth="1"/>
    <col min="6" max="6" width="16.5703125" style="1" bestFit="1" customWidth="1"/>
    <col min="7" max="7" width="17" style="1" bestFit="1" customWidth="1"/>
    <col min="8" max="8" width="16.28515625" style="1" customWidth="1"/>
    <col min="9" max="9" width="15.7109375" style="1" bestFit="1" customWidth="1"/>
    <col min="10" max="16384" width="8.7109375" style="1"/>
  </cols>
  <sheetData>
    <row r="1" spans="1:10">
      <c r="A1" s="18"/>
      <c r="B1" s="18"/>
      <c r="C1" s="18"/>
      <c r="D1" s="18"/>
      <c r="E1" s="18"/>
      <c r="F1" s="18"/>
      <c r="G1" s="18"/>
      <c r="H1" s="18"/>
      <c r="I1" s="18"/>
      <c r="J1" s="2"/>
    </row>
    <row r="2" spans="1:10" ht="29.25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2"/>
    </row>
    <row r="3" spans="1:10">
      <c r="A3" s="7">
        <v>46100</v>
      </c>
      <c r="B3" s="8" t="s">
        <v>10</v>
      </c>
      <c r="C3" s="9">
        <v>0.375</v>
      </c>
      <c r="D3" s="10" t="s">
        <v>11</v>
      </c>
      <c r="E3" s="11">
        <v>4088</v>
      </c>
      <c r="F3" s="11">
        <v>790</v>
      </c>
      <c r="G3" s="12">
        <f t="shared" ref="G3:G23" si="0">F3+E3</f>
        <v>4878</v>
      </c>
      <c r="H3" s="8">
        <f t="shared" ref="H3:H34" si="1">E3*7.11</f>
        <v>29065.68</v>
      </c>
      <c r="I3" s="13">
        <f>F3*7.11</f>
        <v>5616.9000000000005</v>
      </c>
      <c r="J3" s="2"/>
    </row>
    <row r="4" spans="1:10">
      <c r="A4" s="7">
        <v>46099</v>
      </c>
      <c r="B4" s="8" t="s">
        <v>12</v>
      </c>
      <c r="C4" s="9">
        <v>0.375</v>
      </c>
      <c r="D4" s="10" t="s">
        <v>13</v>
      </c>
      <c r="E4" s="11">
        <v>4186</v>
      </c>
      <c r="F4" s="11">
        <v>771</v>
      </c>
      <c r="G4" s="12">
        <f t="shared" si="0"/>
        <v>4957</v>
      </c>
      <c r="H4" s="8">
        <f t="shared" si="1"/>
        <v>29762.460000000003</v>
      </c>
      <c r="I4" s="13">
        <f>F4*7.11</f>
        <v>5481.81</v>
      </c>
      <c r="J4" s="2"/>
    </row>
    <row r="5" spans="1:10">
      <c r="A5" s="7">
        <v>46098</v>
      </c>
      <c r="B5" s="8" t="s">
        <v>14</v>
      </c>
      <c r="C5" s="9">
        <v>0.375</v>
      </c>
      <c r="D5" s="10" t="s">
        <v>13</v>
      </c>
      <c r="E5" s="11">
        <v>3584</v>
      </c>
      <c r="F5" s="11">
        <v>837</v>
      </c>
      <c r="G5" s="12">
        <f t="shared" si="0"/>
        <v>4421</v>
      </c>
      <c r="H5" s="8">
        <f t="shared" si="1"/>
        <v>25482.240000000002</v>
      </c>
      <c r="I5" s="13">
        <f>F5*7.11</f>
        <v>5951.0700000000006</v>
      </c>
      <c r="J5" s="2"/>
    </row>
    <row r="6" spans="1:10">
      <c r="A6" s="7">
        <v>46097</v>
      </c>
      <c r="B6" s="8" t="s">
        <v>15</v>
      </c>
      <c r="C6" s="9">
        <v>0.375</v>
      </c>
      <c r="D6" s="10" t="s">
        <v>13</v>
      </c>
      <c r="E6" s="11">
        <v>1400</v>
      </c>
      <c r="F6" s="11">
        <v>991</v>
      </c>
      <c r="G6" s="12">
        <f t="shared" si="0"/>
        <v>2391</v>
      </c>
      <c r="H6" s="8">
        <f t="shared" si="1"/>
        <v>9954</v>
      </c>
      <c r="I6" s="13">
        <f>F6*7.11</f>
        <v>7046.01</v>
      </c>
      <c r="J6" s="2"/>
    </row>
    <row r="7" spans="1:10">
      <c r="A7" s="7">
        <v>46096</v>
      </c>
      <c r="B7" s="8" t="s">
        <v>16</v>
      </c>
      <c r="C7" s="9">
        <v>0.375</v>
      </c>
      <c r="D7" s="10" t="s">
        <v>13</v>
      </c>
      <c r="E7" s="11">
        <v>3612</v>
      </c>
      <c r="F7" s="11">
        <v>247</v>
      </c>
      <c r="G7" s="12">
        <f t="shared" si="0"/>
        <v>3859</v>
      </c>
      <c r="H7" s="8">
        <f t="shared" si="1"/>
        <v>25681.32</v>
      </c>
      <c r="I7" s="13">
        <f t="shared" ref="I5:I34" si="2">F7*7.11</f>
        <v>1756.17</v>
      </c>
      <c r="J7" s="2"/>
    </row>
    <row r="8" spans="1:10">
      <c r="A8" s="7">
        <v>46095</v>
      </c>
      <c r="B8" s="8" t="s">
        <v>17</v>
      </c>
      <c r="C8" s="9">
        <v>0.375</v>
      </c>
      <c r="D8" s="10" t="s">
        <v>13</v>
      </c>
      <c r="E8" s="11">
        <v>3612</v>
      </c>
      <c r="F8" s="11">
        <v>502</v>
      </c>
      <c r="G8" s="12">
        <f t="shared" si="0"/>
        <v>4114</v>
      </c>
      <c r="H8" s="8">
        <f t="shared" si="1"/>
        <v>25681.32</v>
      </c>
      <c r="I8" s="13">
        <f t="shared" si="2"/>
        <v>3569.2200000000003</v>
      </c>
      <c r="J8" s="2"/>
    </row>
    <row r="9" spans="1:10">
      <c r="A9" s="7">
        <v>46094</v>
      </c>
      <c r="B9" s="8" t="s">
        <v>18</v>
      </c>
      <c r="C9" s="9">
        <v>0.375</v>
      </c>
      <c r="D9" s="10" t="s">
        <v>13</v>
      </c>
      <c r="E9" s="11">
        <v>4242</v>
      </c>
      <c r="F9" s="11">
        <v>697</v>
      </c>
      <c r="G9" s="12">
        <f t="shared" si="0"/>
        <v>4939</v>
      </c>
      <c r="H9" s="8">
        <f t="shared" si="1"/>
        <v>30160.620000000003</v>
      </c>
      <c r="I9" s="13">
        <f t="shared" si="2"/>
        <v>4955.67</v>
      </c>
      <c r="J9" s="2"/>
    </row>
    <row r="10" spans="1:10">
      <c r="A10" s="7">
        <v>46093</v>
      </c>
      <c r="B10" s="8" t="s">
        <v>10</v>
      </c>
      <c r="C10" s="9">
        <v>0.375</v>
      </c>
      <c r="D10" s="10" t="s">
        <v>13</v>
      </c>
      <c r="E10" s="11">
        <v>4368</v>
      </c>
      <c r="F10" s="11">
        <v>620</v>
      </c>
      <c r="G10" s="12">
        <f t="shared" si="0"/>
        <v>4988</v>
      </c>
      <c r="H10" s="8">
        <f t="shared" si="1"/>
        <v>31056.480000000003</v>
      </c>
      <c r="I10" s="13">
        <f t="shared" si="2"/>
        <v>4408.2</v>
      </c>
      <c r="J10" s="2"/>
    </row>
    <row r="11" spans="1:10">
      <c r="A11" s="7">
        <v>46092</v>
      </c>
      <c r="B11" s="8" t="s">
        <v>12</v>
      </c>
      <c r="C11" s="9">
        <v>0.375</v>
      </c>
      <c r="D11" s="10" t="s">
        <v>13</v>
      </c>
      <c r="E11" s="11">
        <v>4592</v>
      </c>
      <c r="F11" s="11">
        <v>702</v>
      </c>
      <c r="G11" s="12">
        <f t="shared" si="0"/>
        <v>5294</v>
      </c>
      <c r="H11" s="8">
        <f t="shared" si="1"/>
        <v>32649.120000000003</v>
      </c>
      <c r="I11" s="13">
        <f t="shared" si="2"/>
        <v>4991.22</v>
      </c>
      <c r="J11" s="2"/>
    </row>
    <row r="12" spans="1:10">
      <c r="A12" s="7">
        <v>46091</v>
      </c>
      <c r="B12" s="8" t="s">
        <v>14</v>
      </c>
      <c r="C12" s="9">
        <v>0.375</v>
      </c>
      <c r="D12" s="10" t="s">
        <v>13</v>
      </c>
      <c r="E12" s="11">
        <v>3976</v>
      </c>
      <c r="F12" s="11">
        <v>429</v>
      </c>
      <c r="G12" s="12">
        <f t="shared" si="0"/>
        <v>4405</v>
      </c>
      <c r="H12" s="8">
        <f t="shared" si="1"/>
        <v>28269.360000000001</v>
      </c>
      <c r="I12" s="13">
        <f t="shared" si="2"/>
        <v>3050.19</v>
      </c>
      <c r="J12" s="2"/>
    </row>
    <row r="13" spans="1:10">
      <c r="A13" s="7">
        <v>46090</v>
      </c>
      <c r="B13" s="8" t="s">
        <v>15</v>
      </c>
      <c r="C13" s="9">
        <v>0.375</v>
      </c>
      <c r="D13" s="10" t="s">
        <v>13</v>
      </c>
      <c r="E13" s="11">
        <v>1582</v>
      </c>
      <c r="F13" s="11">
        <v>399</v>
      </c>
      <c r="G13" s="12">
        <f t="shared" si="0"/>
        <v>1981</v>
      </c>
      <c r="H13" s="8">
        <f t="shared" si="1"/>
        <v>11248.02</v>
      </c>
      <c r="I13" s="13">
        <f t="shared" si="2"/>
        <v>2836.8900000000003</v>
      </c>
      <c r="J13" s="2"/>
    </row>
    <row r="14" spans="1:10">
      <c r="A14" s="7">
        <v>46089</v>
      </c>
      <c r="B14" s="8" t="s">
        <v>16</v>
      </c>
      <c r="C14" s="9">
        <v>0.375</v>
      </c>
      <c r="D14" s="10" t="s">
        <v>19</v>
      </c>
      <c r="E14" s="11">
        <v>2590</v>
      </c>
      <c r="F14" s="11">
        <f>456+88</f>
        <v>544</v>
      </c>
      <c r="G14" s="12">
        <f t="shared" si="0"/>
        <v>3134</v>
      </c>
      <c r="H14" s="8">
        <f t="shared" si="1"/>
        <v>18414.900000000001</v>
      </c>
      <c r="I14" s="13">
        <f t="shared" si="2"/>
        <v>3867.84</v>
      </c>
      <c r="J14" s="2"/>
    </row>
    <row r="15" spans="1:10">
      <c r="A15" s="7">
        <v>46088</v>
      </c>
      <c r="B15" s="8" t="s">
        <v>17</v>
      </c>
      <c r="C15" s="9">
        <v>0.375</v>
      </c>
      <c r="D15" s="10" t="s">
        <v>20</v>
      </c>
      <c r="E15" s="11">
        <v>4032</v>
      </c>
      <c r="F15" s="11">
        <f>462+72</f>
        <v>534</v>
      </c>
      <c r="G15" s="12">
        <f t="shared" si="0"/>
        <v>4566</v>
      </c>
      <c r="H15" s="8">
        <f t="shared" si="1"/>
        <v>28667.52</v>
      </c>
      <c r="I15" s="13">
        <f t="shared" si="2"/>
        <v>3796.7400000000002</v>
      </c>
      <c r="J15" s="2"/>
    </row>
    <row r="16" spans="1:10">
      <c r="A16" s="7">
        <v>46087</v>
      </c>
      <c r="B16" s="8" t="s">
        <v>18</v>
      </c>
      <c r="C16" s="9">
        <v>0.375</v>
      </c>
      <c r="D16" s="10" t="s">
        <v>13</v>
      </c>
      <c r="E16" s="11">
        <v>4046</v>
      </c>
      <c r="F16" s="11">
        <f>481+85</f>
        <v>566</v>
      </c>
      <c r="G16" s="12">
        <f t="shared" si="0"/>
        <v>4612</v>
      </c>
      <c r="H16" s="8">
        <f t="shared" si="1"/>
        <v>28767.06</v>
      </c>
      <c r="I16" s="13">
        <f t="shared" si="2"/>
        <v>4024.26</v>
      </c>
      <c r="J16" s="2"/>
    </row>
    <row r="17" spans="1:10">
      <c r="A17" s="7">
        <v>46086</v>
      </c>
      <c r="B17" s="8" t="s">
        <v>10</v>
      </c>
      <c r="C17" s="9">
        <v>0.375</v>
      </c>
      <c r="D17" s="10" t="s">
        <v>13</v>
      </c>
      <c r="E17" s="11">
        <v>1876</v>
      </c>
      <c r="F17" s="11">
        <f>521+99</f>
        <v>620</v>
      </c>
      <c r="G17" s="12">
        <f t="shared" si="0"/>
        <v>2496</v>
      </c>
      <c r="H17" s="8">
        <f t="shared" si="1"/>
        <v>13338.36</v>
      </c>
      <c r="I17" s="13">
        <f t="shared" si="2"/>
        <v>4408.2</v>
      </c>
      <c r="J17" s="2"/>
    </row>
    <row r="18" spans="1:10">
      <c r="A18" s="7">
        <v>46085</v>
      </c>
      <c r="B18" s="8" t="s">
        <v>12</v>
      </c>
      <c r="C18" s="9">
        <v>0.375</v>
      </c>
      <c r="D18" s="10" t="s">
        <v>21</v>
      </c>
      <c r="E18" s="11">
        <v>2730</v>
      </c>
      <c r="F18" s="11">
        <f>527+92</f>
        <v>619</v>
      </c>
      <c r="G18" s="12">
        <f t="shared" si="0"/>
        <v>3349</v>
      </c>
      <c r="H18" s="8">
        <f t="shared" si="1"/>
        <v>19410.3</v>
      </c>
      <c r="I18" s="13">
        <f t="shared" si="2"/>
        <v>4401.09</v>
      </c>
      <c r="J18" s="2"/>
    </row>
    <row r="19" spans="1:10">
      <c r="A19" s="7">
        <v>46084</v>
      </c>
      <c r="B19" s="8" t="s">
        <v>14</v>
      </c>
      <c r="C19" s="9">
        <v>0.375</v>
      </c>
      <c r="D19" s="10" t="s">
        <v>22</v>
      </c>
      <c r="E19" s="11">
        <v>3388</v>
      </c>
      <c r="F19" s="11">
        <f>633+77</f>
        <v>710</v>
      </c>
      <c r="G19" s="12">
        <f t="shared" si="0"/>
        <v>4098</v>
      </c>
      <c r="H19" s="8">
        <f t="shared" si="1"/>
        <v>24088.68</v>
      </c>
      <c r="I19" s="13">
        <f t="shared" si="2"/>
        <v>5048.1000000000004</v>
      </c>
      <c r="J19" s="2"/>
    </row>
    <row r="20" spans="1:10">
      <c r="A20" s="7">
        <v>46083</v>
      </c>
      <c r="B20" s="8" t="s">
        <v>15</v>
      </c>
      <c r="C20" s="9">
        <v>0.375</v>
      </c>
      <c r="D20" s="10" t="s">
        <v>23</v>
      </c>
      <c r="E20" s="11">
        <v>1610</v>
      </c>
      <c r="F20" s="11">
        <f>384+95</f>
        <v>479</v>
      </c>
      <c r="G20" s="12">
        <f t="shared" si="0"/>
        <v>2089</v>
      </c>
      <c r="H20" s="8">
        <f t="shared" si="1"/>
        <v>11447.1</v>
      </c>
      <c r="I20" s="13">
        <f t="shared" si="2"/>
        <v>3405.69</v>
      </c>
      <c r="J20" s="2"/>
    </row>
    <row r="21" spans="1:10">
      <c r="A21" s="7">
        <v>46082</v>
      </c>
      <c r="B21" s="8" t="s">
        <v>16</v>
      </c>
      <c r="C21" s="9">
        <v>0.375</v>
      </c>
      <c r="D21" s="10" t="s">
        <v>24</v>
      </c>
      <c r="E21" s="11">
        <v>2450</v>
      </c>
      <c r="F21" s="11">
        <f>590+77</f>
        <v>667</v>
      </c>
      <c r="G21" s="12">
        <f t="shared" si="0"/>
        <v>3117</v>
      </c>
      <c r="H21" s="8">
        <f t="shared" si="1"/>
        <v>17419.5</v>
      </c>
      <c r="I21" s="13">
        <f t="shared" si="2"/>
        <v>4742.37</v>
      </c>
      <c r="J21" s="2"/>
    </row>
    <row r="22" spans="1:10">
      <c r="A22" s="7">
        <v>46081</v>
      </c>
      <c r="B22" s="8" t="s">
        <v>17</v>
      </c>
      <c r="C22" s="9">
        <v>0.375</v>
      </c>
      <c r="D22" s="10" t="s">
        <v>23</v>
      </c>
      <c r="E22" s="11">
        <v>2884</v>
      </c>
      <c r="F22" s="11">
        <f>541+84</f>
        <v>625</v>
      </c>
      <c r="G22" s="12">
        <f t="shared" si="0"/>
        <v>3509</v>
      </c>
      <c r="H22" s="8">
        <f t="shared" si="1"/>
        <v>20505.240000000002</v>
      </c>
      <c r="I22" s="13">
        <f t="shared" si="2"/>
        <v>4443.75</v>
      </c>
      <c r="J22" s="2"/>
    </row>
    <row r="23" spans="1:10">
      <c r="A23" s="7">
        <v>46080</v>
      </c>
      <c r="B23" s="8" t="s">
        <v>18</v>
      </c>
      <c r="C23" s="9">
        <v>0.375</v>
      </c>
      <c r="D23" s="10" t="s">
        <v>13</v>
      </c>
      <c r="E23" s="11">
        <v>2842</v>
      </c>
      <c r="F23" s="11">
        <v>701</v>
      </c>
      <c r="G23" s="12">
        <f t="shared" si="0"/>
        <v>3543</v>
      </c>
      <c r="H23" s="8">
        <f t="shared" si="1"/>
        <v>20206.620000000003</v>
      </c>
      <c r="I23" s="13">
        <f t="shared" si="2"/>
        <v>4984.1100000000006</v>
      </c>
      <c r="J23" s="2"/>
    </row>
    <row r="24" spans="1:10">
      <c r="A24" s="7">
        <v>46079</v>
      </c>
      <c r="B24" s="8" t="s">
        <v>10</v>
      </c>
      <c r="C24" s="9">
        <v>0.375</v>
      </c>
      <c r="D24" s="10" t="s">
        <v>23</v>
      </c>
      <c r="E24" s="11">
        <v>3262</v>
      </c>
      <c r="F24" s="11">
        <f>640+74</f>
        <v>714</v>
      </c>
      <c r="G24" s="12">
        <f t="shared" ref="G24:G34" si="3">F24+E24</f>
        <v>3976</v>
      </c>
      <c r="H24" s="8">
        <f t="shared" si="1"/>
        <v>23192.82</v>
      </c>
      <c r="I24" s="13">
        <f t="shared" si="2"/>
        <v>5076.54</v>
      </c>
      <c r="J24" s="2"/>
    </row>
    <row r="25" spans="1:10">
      <c r="A25" s="7">
        <v>46078</v>
      </c>
      <c r="B25" s="8" t="s">
        <v>12</v>
      </c>
      <c r="C25" s="9">
        <v>0.375</v>
      </c>
      <c r="D25" s="10" t="s">
        <v>23</v>
      </c>
      <c r="E25" s="11">
        <v>3220</v>
      </c>
      <c r="F25" s="11">
        <f>540+73</f>
        <v>613</v>
      </c>
      <c r="G25" s="12">
        <f t="shared" si="3"/>
        <v>3833</v>
      </c>
      <c r="H25" s="8">
        <f t="shared" si="1"/>
        <v>22894.2</v>
      </c>
      <c r="I25" s="13">
        <f t="shared" si="2"/>
        <v>4358.43</v>
      </c>
      <c r="J25" s="2"/>
    </row>
    <row r="26" spans="1:10">
      <c r="A26" s="7">
        <v>46077</v>
      </c>
      <c r="B26" s="8" t="s">
        <v>14</v>
      </c>
      <c r="C26" s="9">
        <v>0.375</v>
      </c>
      <c r="D26" s="10" t="s">
        <v>11</v>
      </c>
      <c r="E26" s="11">
        <v>3150</v>
      </c>
      <c r="F26" s="11">
        <f>615+83</f>
        <v>698</v>
      </c>
      <c r="G26" s="12">
        <f t="shared" si="3"/>
        <v>3848</v>
      </c>
      <c r="H26" s="8">
        <f t="shared" si="1"/>
        <v>22396.5</v>
      </c>
      <c r="I26" s="13">
        <f t="shared" si="2"/>
        <v>4962.7800000000007</v>
      </c>
      <c r="J26" s="2"/>
    </row>
    <row r="27" spans="1:10">
      <c r="A27" s="7">
        <v>46076</v>
      </c>
      <c r="B27" s="8" t="s">
        <v>15</v>
      </c>
      <c r="C27" s="9">
        <v>0.375</v>
      </c>
      <c r="D27" s="10" t="s">
        <v>25</v>
      </c>
      <c r="E27" s="11">
        <v>1540</v>
      </c>
      <c r="F27" s="11">
        <f>514+97</f>
        <v>611</v>
      </c>
      <c r="G27" s="12">
        <f t="shared" si="3"/>
        <v>2151</v>
      </c>
      <c r="H27" s="8">
        <f t="shared" si="1"/>
        <v>10949.4</v>
      </c>
      <c r="I27" s="13">
        <f t="shared" si="2"/>
        <v>4344.21</v>
      </c>
      <c r="J27" s="2"/>
    </row>
    <row r="28" spans="1:10">
      <c r="A28" s="7">
        <v>46075</v>
      </c>
      <c r="B28" s="8" t="s">
        <v>16</v>
      </c>
      <c r="C28" s="9">
        <v>0.375</v>
      </c>
      <c r="D28" s="10" t="s">
        <v>26</v>
      </c>
      <c r="E28" s="11">
        <v>2100</v>
      </c>
      <c r="F28" s="11">
        <f>713+81</f>
        <v>794</v>
      </c>
      <c r="G28" s="12">
        <f t="shared" si="3"/>
        <v>2894</v>
      </c>
      <c r="H28" s="8">
        <f t="shared" si="1"/>
        <v>14931</v>
      </c>
      <c r="I28" s="13">
        <f t="shared" si="2"/>
        <v>5645.34</v>
      </c>
      <c r="J28" s="2"/>
    </row>
    <row r="29" spans="1:10">
      <c r="A29" s="7">
        <v>46074</v>
      </c>
      <c r="B29" s="8" t="s">
        <v>17</v>
      </c>
      <c r="C29" s="9">
        <v>0.375</v>
      </c>
      <c r="D29" s="10" t="s">
        <v>25</v>
      </c>
      <c r="E29" s="11">
        <v>3024</v>
      </c>
      <c r="F29" s="11">
        <f>532+74</f>
        <v>606</v>
      </c>
      <c r="G29" s="12">
        <f t="shared" si="3"/>
        <v>3630</v>
      </c>
      <c r="H29" s="8">
        <f t="shared" si="1"/>
        <v>21500.639999999999</v>
      </c>
      <c r="I29" s="13">
        <f t="shared" si="2"/>
        <v>4308.66</v>
      </c>
      <c r="J29" s="2"/>
    </row>
    <row r="30" spans="1:10">
      <c r="A30" s="7">
        <v>46073</v>
      </c>
      <c r="B30" s="8" t="s">
        <v>18</v>
      </c>
      <c r="C30" s="9">
        <v>0.375</v>
      </c>
      <c r="D30" s="10" t="s">
        <v>27</v>
      </c>
      <c r="E30" s="11">
        <v>2940</v>
      </c>
      <c r="F30" s="11">
        <f>663+78</f>
        <v>741</v>
      </c>
      <c r="G30" s="12">
        <f t="shared" si="3"/>
        <v>3681</v>
      </c>
      <c r="H30" s="8">
        <f t="shared" si="1"/>
        <v>20903.400000000001</v>
      </c>
      <c r="I30" s="13">
        <f t="shared" si="2"/>
        <v>5268.51</v>
      </c>
      <c r="J30" s="2"/>
    </row>
    <row r="31" spans="1:10">
      <c r="A31" s="7">
        <v>46072</v>
      </c>
      <c r="B31" s="8" t="s">
        <v>10</v>
      </c>
      <c r="C31" s="9">
        <v>0.375</v>
      </c>
      <c r="D31" s="10" t="s">
        <v>25</v>
      </c>
      <c r="E31" s="11">
        <v>3654</v>
      </c>
      <c r="F31" s="11">
        <f>122+15</f>
        <v>137</v>
      </c>
      <c r="G31" s="12">
        <f t="shared" si="3"/>
        <v>3791</v>
      </c>
      <c r="H31" s="8">
        <f t="shared" si="1"/>
        <v>25979.940000000002</v>
      </c>
      <c r="I31" s="13">
        <f t="shared" si="2"/>
        <v>974.07</v>
      </c>
      <c r="J31" s="2"/>
    </row>
    <row r="32" spans="1:10">
      <c r="A32" s="7">
        <v>46071</v>
      </c>
      <c r="B32" s="8" t="s">
        <v>12</v>
      </c>
      <c r="C32" s="9">
        <v>0.375</v>
      </c>
      <c r="D32" s="10" t="s">
        <v>28</v>
      </c>
      <c r="E32" s="11">
        <v>2968</v>
      </c>
      <c r="F32" s="11">
        <f>642+71</f>
        <v>713</v>
      </c>
      <c r="G32" s="12">
        <f t="shared" si="3"/>
        <v>3681</v>
      </c>
      <c r="H32" s="8">
        <f t="shared" si="1"/>
        <v>21102.48</v>
      </c>
      <c r="I32" s="13">
        <f t="shared" si="2"/>
        <v>5069.43</v>
      </c>
      <c r="J32" s="2"/>
    </row>
    <row r="33" spans="1:10">
      <c r="A33" s="7">
        <v>46070</v>
      </c>
      <c r="B33" s="8" t="s">
        <v>14</v>
      </c>
      <c r="C33" s="9">
        <v>0.375</v>
      </c>
      <c r="D33" s="10" t="s">
        <v>29</v>
      </c>
      <c r="E33" s="11">
        <v>2632</v>
      </c>
      <c r="F33" s="11">
        <f>739+87</f>
        <v>826</v>
      </c>
      <c r="G33" s="12">
        <f t="shared" si="3"/>
        <v>3458</v>
      </c>
      <c r="H33" s="8">
        <f t="shared" si="1"/>
        <v>18713.52</v>
      </c>
      <c r="I33" s="13">
        <f t="shared" si="2"/>
        <v>5872.8600000000006</v>
      </c>
      <c r="J33" s="2"/>
    </row>
    <row r="34" spans="1:10">
      <c r="A34" s="7">
        <v>46069</v>
      </c>
      <c r="B34" s="8" t="s">
        <v>15</v>
      </c>
      <c r="C34" s="9">
        <v>0.375</v>
      </c>
      <c r="D34" s="10" t="s">
        <v>25</v>
      </c>
      <c r="E34" s="11">
        <v>1722</v>
      </c>
      <c r="F34" s="11">
        <f>363+89</f>
        <v>452</v>
      </c>
      <c r="G34" s="12">
        <f t="shared" si="3"/>
        <v>2174</v>
      </c>
      <c r="H34" s="8">
        <f t="shared" si="1"/>
        <v>12243.42</v>
      </c>
      <c r="I34" s="13">
        <f t="shared" si="2"/>
        <v>3213.7200000000003</v>
      </c>
      <c r="J34" s="2"/>
    </row>
    <row r="35" spans="1:10">
      <c r="A35" s="17" t="s">
        <v>30</v>
      </c>
      <c r="B35" s="17"/>
      <c r="C35" s="17"/>
      <c r="D35" s="17"/>
      <c r="E35" s="14">
        <f>SUM(E3:E34)</f>
        <v>97902</v>
      </c>
      <c r="F35" s="15">
        <f>SUM(F3:F34)</f>
        <v>19955</v>
      </c>
      <c r="G35" s="15">
        <f>SUM(G3:G34)</f>
        <v>117857</v>
      </c>
      <c r="H35" s="14">
        <f>SUM(H3:H34)</f>
        <v>696083.22000000009</v>
      </c>
      <c r="I35" s="16">
        <f>SUM(I3:I34)</f>
        <v>141880.05000000002</v>
      </c>
      <c r="J35" s="2"/>
    </row>
    <row r="36" spans="1:10">
      <c r="A36" s="3"/>
      <c r="B36" s="3"/>
      <c r="C36" s="3"/>
      <c r="D36" s="3"/>
      <c r="E36" s="3"/>
      <c r="F36" s="3"/>
      <c r="G36" s="3"/>
      <c r="H36" s="3"/>
      <c r="I36" s="3"/>
    </row>
  </sheetData>
  <mergeCells count="2">
    <mergeCell ref="A35:D35"/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  <clbl:label id="{da9eb017-8748-4dee-b17a-dc32ea047a1f}" enabled="1" method="Standard" siteId="{e4d98dd2-9199-42e5-ba8b-da3e763ede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Singh | MAQ Software</dc:creator>
  <cp:keywords/>
  <dc:description/>
  <cp:lastModifiedBy/>
  <cp:revision/>
  <dcterms:created xsi:type="dcterms:W3CDTF">2024-08-31T04:03:53Z</dcterms:created>
  <dcterms:modified xsi:type="dcterms:W3CDTF">2026-03-19T08:21:12Z</dcterms:modified>
  <cp:category/>
  <cp:contentStatus/>
</cp:coreProperties>
</file>